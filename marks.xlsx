
<file path=[Content_Types].xml><?xml version="1.0" encoding="utf-8"?>
<Types xmlns="http://schemas.openxmlformats.org/package/2006/content-types">
  <Override PartName="/_rels/.rels" ContentType="application/vnd.openxmlformats-package.relationships+xml"/>
  <Override PartName="/docProps/custom.xml" ContentType="application/vnd.openxmlformats-officedocument.custom-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worksheets/sheet3.xml" ContentType="application/vnd.openxmlformats-officedocument.spreadsheetml.worksheet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посещения" sheetId="1" state="visible" r:id="rId2"/>
    <sheet name="оценки" sheetId="2" state="visible" r:id="rId3"/>
    <sheet name="оценки 2 семестр" sheetId="3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<sst xmlns="http://schemas.openxmlformats.org/spreadsheetml/2006/main" count="291" uniqueCount="60">
  <si>
    <t xml:space="preserve">Column1</t>
  </si>
  <si>
    <t xml:space="preserve">Column2</t>
  </si>
  <si>
    <t xml:space="preserve">Column3</t>
  </si>
  <si>
    <t xml:space="preserve">Column4</t>
  </si>
  <si>
    <t xml:space="preserve">Column5</t>
  </si>
  <si>
    <t xml:space="preserve">Column6</t>
  </si>
  <si>
    <t xml:space="preserve">Column7</t>
  </si>
  <si>
    <t xml:space="preserve">Column8</t>
  </si>
  <si>
    <t xml:space="preserve">Column9</t>
  </si>
  <si>
    <t xml:space="preserve">Column10</t>
  </si>
  <si>
    <t xml:space="preserve">Column11</t>
  </si>
  <si>
    <t xml:space="preserve">Column12</t>
  </si>
  <si>
    <t xml:space="preserve">Column13</t>
  </si>
  <si>
    <t xml:space="preserve">Column14</t>
  </si>
  <si>
    <t xml:space="preserve">Column15</t>
  </si>
  <si>
    <t xml:space="preserve">Column16</t>
  </si>
  <si>
    <t xml:space="preserve">2025-09-01</t>
  </si>
  <si>
    <t xml:space="preserve">2025-09-08</t>
  </si>
  <si>
    <t xml:space="preserve">2025-09-15</t>
  </si>
  <si>
    <t xml:space="preserve">2025-09-22</t>
  </si>
  <si>
    <t xml:space="preserve">2025-09-29</t>
  </si>
  <si>
    <t xml:space="preserve">2025-10-06</t>
  </si>
  <si>
    <t xml:space="preserve">2025-10-13</t>
  </si>
  <si>
    <t xml:space="preserve">2025-10-20</t>
  </si>
  <si>
    <t xml:space="preserve">2025-10-27</t>
  </si>
  <si>
    <t xml:space="preserve">2025-11-03</t>
  </si>
  <si>
    <t xml:space="preserve">2025-11-10</t>
  </si>
  <si>
    <t xml:space="preserve">2025-11-17</t>
  </si>
  <si>
    <t xml:space="preserve">2025-11-24</t>
  </si>
  <si>
    <t xml:space="preserve">2025-12-01</t>
  </si>
  <si>
    <t xml:space="preserve">2025-12-08</t>
  </si>
  <si>
    <t xml:space="preserve">Алеев</t>
  </si>
  <si>
    <t xml:space="preserve">1</t>
  </si>
  <si>
    <t xml:space="preserve">0</t>
  </si>
  <si>
    <t xml:space="preserve">Блинов</t>
  </si>
  <si>
    <t xml:space="preserve">Кирсанов</t>
  </si>
  <si>
    <t xml:space="preserve">Коломоец</t>
  </si>
  <si>
    <t xml:space="preserve">Кукушкин</t>
  </si>
  <si>
    <t xml:space="preserve">Моисеев</t>
  </si>
  <si>
    <t xml:space="preserve">Осипов</t>
  </si>
  <si>
    <t xml:space="preserve">Погосян </t>
  </si>
  <si>
    <t xml:space="preserve">Подкорытов</t>
  </si>
  <si>
    <t xml:space="preserve">Титова</t>
  </si>
  <si>
    <t xml:space="preserve">Фролова</t>
  </si>
  <si>
    <t xml:space="preserve">Хачоян</t>
  </si>
  <si>
    <t xml:space="preserve">Цагадаев</t>
  </si>
  <si>
    <t xml:space="preserve">Чернейко</t>
  </si>
  <si>
    <t xml:space="preserve">лаба1</t>
  </si>
  <si>
    <t xml:space="preserve">лаба2</t>
  </si>
  <si>
    <t xml:space="preserve">лаба3</t>
  </si>
  <si>
    <t xml:space="preserve">лаба4</t>
  </si>
  <si>
    <t xml:space="preserve">лаба5</t>
  </si>
  <si>
    <t xml:space="preserve">КР1</t>
  </si>
  <si>
    <t xml:space="preserve">КР2</t>
  </si>
  <si>
    <t xml:space="preserve">доп баллы</t>
  </si>
  <si>
    <t xml:space="preserve">итог</t>
  </si>
  <si>
    <t xml:space="preserve">Кр / хакатон</t>
  </si>
  <si>
    <t xml:space="preserve">проект</t>
  </si>
  <si>
    <t xml:space="preserve">теор. Зачёт</t>
  </si>
  <si>
    <t xml:space="preserve">Итог</t>
  </si>
</sst>
</file>

<file path=xl/styles.xml><?xml version="1.0" encoding="utf-8"?>
<styleSheet xmlns="http://schemas.openxmlformats.org/spreadsheetml/2006/main">
  <numFmts count="1">
    <numFmt numFmtId="164" formatCode="General"/>
  </numFmts>
  <fonts count="6">
    <font>
      <sz val="11"/>
      <color rgb="FF000000"/>
      <name val="Calibri"/>
      <family val="2"/>
      <charset val="20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Calibri"/>
      <family val="2"/>
      <charset val="204"/>
    </font>
    <font>
      <sz val="11"/>
      <color rgb="FF000000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70AD47"/>
        <bgColor rgb="FF339966"/>
      </patternFill>
    </fill>
    <fill>
      <patternFill patternType="solid">
        <fgColor rgb="FFE2F0D9"/>
        <bgColor rgb="FFFFFFCC"/>
      </patternFill>
    </fill>
  </fills>
  <borders count="7">
    <border diagonalUp="false" diagonalDown="false">
      <left/>
      <right/>
      <top/>
      <bottom/>
      <diagonal/>
    </border>
    <border diagonalUp="false" diagonalDown="false">
      <left style="thin">
        <color rgb="FFA9D18E"/>
      </left>
      <right/>
      <top style="thin">
        <color rgb="FFA9D18E"/>
      </top>
      <bottom style="thin">
        <color rgb="FFA9D18E"/>
      </bottom>
      <diagonal/>
    </border>
    <border diagonalUp="false" diagonalDown="false">
      <left/>
      <right/>
      <top style="thin">
        <color rgb="FFA9D18E"/>
      </top>
      <bottom style="thin">
        <color rgb="FFA9D18E"/>
      </bottom>
      <diagonal/>
    </border>
    <border diagonalUp="false" diagonalDown="false">
      <left/>
      <right style="thin">
        <color rgb="FFA9D18E"/>
      </right>
      <top style="thin">
        <color rgb="FFA9D18E"/>
      </top>
      <bottom style="thin">
        <color rgb="FFA9D18E"/>
      </bottom>
      <diagonal/>
    </border>
    <border diagonalUp="false" diagonalDown="false">
      <left style="thin">
        <color rgb="FFA9D18E"/>
      </left>
      <right/>
      <top style="thin">
        <color rgb="FFA9D18E"/>
      </top>
      <bottom/>
      <diagonal/>
    </border>
    <border diagonalUp="false" diagonalDown="false">
      <left/>
      <right/>
      <top style="thin">
        <color rgb="FFA9D18E"/>
      </top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2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7">
    <cellStyle name="Normal" xfId="0" builtinId="0" customBuiltin="false"/>
    <cellStyle name="Comma" xfId="15" builtinId="3" customBuiltin="false"/>
    <cellStyle name="Comma [0]" xfId="16" builtinId="6" customBuiltin="false"/>
    <cellStyle name="Currency" xfId="17" builtinId="4" customBuiltin="false"/>
    <cellStyle name="Currency [0]" xfId="18" builtinId="7" customBuiltin="false"/>
    <cellStyle name="Percent" xfId="19" builtinId="5" customBuiltin="false"/>
    <cellStyle name="Excel Built-in Explanatory Text" xfId="20" builtinId="53" customBuiltin="true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9D18E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70AD47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P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L31" activeCellId="0" sqref="L31"/>
    </sheetView>
  </sheetViews>
  <sheetFormatPr defaultRowHeight="15" zeroHeight="false" outlineLevelRow="0" outlineLevelCol="0"/>
  <cols>
    <col collapsed="false" customWidth="true" hidden="false" outlineLevel="0" max="1025" min="1" style="0" width="8.71"/>
  </cols>
  <sheetData>
    <row r="1" customFormat="false" ht="15" hidden="false" customHeight="false" outlineLevel="0" collapsed="false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3" t="s">
        <v>15</v>
      </c>
    </row>
    <row r="2" customFormat="false" ht="15" hidden="false" customHeight="false" outlineLevel="0" collapsed="false">
      <c r="A2" s="4"/>
      <c r="B2" s="5" t="s">
        <v>16</v>
      </c>
      <c r="C2" s="5" t="s">
        <v>17</v>
      </c>
      <c r="D2" s="5" t="s">
        <v>18</v>
      </c>
      <c r="E2" s="5" t="s">
        <v>19</v>
      </c>
      <c r="F2" s="5" t="s">
        <v>20</v>
      </c>
      <c r="G2" s="5" t="s">
        <v>21</v>
      </c>
      <c r="H2" s="5" t="s">
        <v>22</v>
      </c>
      <c r="I2" s="5" t="s">
        <v>23</v>
      </c>
      <c r="J2" s="5" t="s">
        <v>24</v>
      </c>
      <c r="K2" s="5" t="s">
        <v>25</v>
      </c>
      <c r="L2" s="5" t="s">
        <v>26</v>
      </c>
      <c r="M2" s="5" t="s">
        <v>27</v>
      </c>
      <c r="N2" s="5" t="s">
        <v>28</v>
      </c>
      <c r="O2" s="5" t="s">
        <v>29</v>
      </c>
      <c r="P2" s="6" t="s">
        <v>30</v>
      </c>
    </row>
    <row r="3" customFormat="false" ht="15" hidden="false" customHeight="false" outlineLevel="0" collapsed="false">
      <c r="A3" s="7" t="s">
        <v>31</v>
      </c>
      <c r="B3" s="8" t="s">
        <v>32</v>
      </c>
      <c r="C3" s="8" t="s">
        <v>32</v>
      </c>
      <c r="D3" s="8" t="s">
        <v>32</v>
      </c>
      <c r="E3" s="8" t="s">
        <v>32</v>
      </c>
      <c r="F3" s="8" t="s">
        <v>32</v>
      </c>
      <c r="G3" s="8" t="s">
        <v>33</v>
      </c>
      <c r="H3" s="8" t="s">
        <v>33</v>
      </c>
      <c r="I3" s="8" t="s">
        <v>33</v>
      </c>
      <c r="J3" s="8" t="s">
        <v>33</v>
      </c>
      <c r="K3" s="8" t="s">
        <v>33</v>
      </c>
      <c r="L3" s="8" t="s">
        <v>33</v>
      </c>
      <c r="M3" s="8" t="s">
        <v>33</v>
      </c>
      <c r="N3" s="8" t="s">
        <v>33</v>
      </c>
      <c r="O3" s="8" t="s">
        <v>33</v>
      </c>
      <c r="P3" s="9" t="s">
        <v>33</v>
      </c>
    </row>
    <row r="4" customFormat="false" ht="15" hidden="false" customHeight="false" outlineLevel="0" collapsed="false">
      <c r="A4" s="4" t="s">
        <v>34</v>
      </c>
      <c r="B4" s="5" t="s">
        <v>32</v>
      </c>
      <c r="C4" s="5" t="s">
        <v>32</v>
      </c>
      <c r="D4" s="5" t="s">
        <v>33</v>
      </c>
      <c r="E4" s="5" t="s">
        <v>33</v>
      </c>
      <c r="F4" s="5" t="s">
        <v>32</v>
      </c>
      <c r="G4" s="5" t="s">
        <v>33</v>
      </c>
      <c r="H4" s="5" t="s">
        <v>33</v>
      </c>
      <c r="I4" s="5" t="s">
        <v>33</v>
      </c>
      <c r="J4" s="5" t="s">
        <v>33</v>
      </c>
      <c r="K4" s="5" t="s">
        <v>33</v>
      </c>
      <c r="L4" s="5" t="s">
        <v>33</v>
      </c>
      <c r="M4" s="5" t="s">
        <v>33</v>
      </c>
      <c r="N4" s="5" t="s">
        <v>33</v>
      </c>
      <c r="O4" s="5" t="s">
        <v>33</v>
      </c>
      <c r="P4" s="6" t="s">
        <v>33</v>
      </c>
    </row>
    <row r="5" customFormat="false" ht="15" hidden="false" customHeight="false" outlineLevel="0" collapsed="false">
      <c r="A5" s="7" t="s">
        <v>35</v>
      </c>
      <c r="B5" s="8" t="s">
        <v>32</v>
      </c>
      <c r="C5" s="8" t="s">
        <v>32</v>
      </c>
      <c r="D5" s="8" t="s">
        <v>33</v>
      </c>
      <c r="E5" s="8" t="s">
        <v>32</v>
      </c>
      <c r="F5" s="8" t="s">
        <v>33</v>
      </c>
      <c r="G5" s="8" t="s">
        <v>33</v>
      </c>
      <c r="H5" s="8" t="s">
        <v>33</v>
      </c>
      <c r="I5" s="8" t="s">
        <v>33</v>
      </c>
      <c r="J5" s="8" t="s">
        <v>33</v>
      </c>
      <c r="K5" s="8" t="s">
        <v>33</v>
      </c>
      <c r="L5" s="8" t="s">
        <v>33</v>
      </c>
      <c r="M5" s="8" t="s">
        <v>33</v>
      </c>
      <c r="N5" s="8" t="s">
        <v>33</v>
      </c>
      <c r="O5" s="8" t="s">
        <v>33</v>
      </c>
      <c r="P5" s="9" t="s">
        <v>33</v>
      </c>
    </row>
    <row r="6" customFormat="false" ht="15" hidden="false" customHeight="false" outlineLevel="0" collapsed="false">
      <c r="A6" s="4" t="s">
        <v>36</v>
      </c>
      <c r="B6" s="5" t="s">
        <v>32</v>
      </c>
      <c r="C6" s="5" t="s">
        <v>32</v>
      </c>
      <c r="D6" s="5" t="n">
        <v>1</v>
      </c>
      <c r="E6" s="5" t="s">
        <v>32</v>
      </c>
      <c r="F6" s="5" t="s">
        <v>32</v>
      </c>
      <c r="G6" s="5" t="s">
        <v>33</v>
      </c>
      <c r="H6" s="5" t="s">
        <v>33</v>
      </c>
      <c r="I6" s="5" t="s">
        <v>33</v>
      </c>
      <c r="J6" s="5" t="s">
        <v>33</v>
      </c>
      <c r="K6" s="5" t="s">
        <v>33</v>
      </c>
      <c r="L6" s="5" t="s">
        <v>33</v>
      </c>
      <c r="M6" s="5" t="s">
        <v>33</v>
      </c>
      <c r="N6" s="5" t="s">
        <v>33</v>
      </c>
      <c r="O6" s="5" t="s">
        <v>33</v>
      </c>
      <c r="P6" s="6" t="s">
        <v>33</v>
      </c>
    </row>
    <row r="7" customFormat="false" ht="15" hidden="false" customHeight="false" outlineLevel="0" collapsed="false">
      <c r="A7" s="4" t="s">
        <v>37</v>
      </c>
      <c r="B7" s="5" t="s">
        <v>32</v>
      </c>
      <c r="C7" s="5" t="s">
        <v>32</v>
      </c>
      <c r="D7" s="5" t="s">
        <v>32</v>
      </c>
      <c r="E7" s="5" t="s">
        <v>32</v>
      </c>
      <c r="F7" s="5" t="s">
        <v>32</v>
      </c>
      <c r="G7" s="5" t="s">
        <v>32</v>
      </c>
      <c r="H7" s="5" t="s">
        <v>33</v>
      </c>
      <c r="I7" s="5" t="s">
        <v>33</v>
      </c>
      <c r="J7" s="5" t="s">
        <v>33</v>
      </c>
      <c r="K7" s="5" t="s">
        <v>33</v>
      </c>
      <c r="L7" s="5" t="s">
        <v>33</v>
      </c>
      <c r="M7" s="5" t="s">
        <v>33</v>
      </c>
      <c r="N7" s="5" t="s">
        <v>33</v>
      </c>
      <c r="O7" s="5" t="s">
        <v>33</v>
      </c>
      <c r="P7" s="6" t="s">
        <v>33</v>
      </c>
    </row>
    <row r="8" customFormat="false" ht="15" hidden="false" customHeight="false" outlineLevel="0" collapsed="false">
      <c r="A8" s="4" t="s">
        <v>38</v>
      </c>
      <c r="B8" s="5" t="s">
        <v>32</v>
      </c>
      <c r="C8" s="5" t="s">
        <v>32</v>
      </c>
      <c r="D8" s="5" t="s">
        <v>32</v>
      </c>
      <c r="E8" s="5" t="s">
        <v>32</v>
      </c>
      <c r="F8" s="5" t="s">
        <v>32</v>
      </c>
      <c r="G8" s="5" t="s">
        <v>32</v>
      </c>
      <c r="H8" s="5" t="s">
        <v>33</v>
      </c>
      <c r="I8" s="5" t="s">
        <v>33</v>
      </c>
      <c r="J8" s="5" t="s">
        <v>33</v>
      </c>
      <c r="K8" s="5" t="s">
        <v>33</v>
      </c>
      <c r="L8" s="5" t="s">
        <v>33</v>
      </c>
      <c r="M8" s="5" t="s">
        <v>33</v>
      </c>
      <c r="N8" s="5" t="s">
        <v>33</v>
      </c>
      <c r="O8" s="5" t="s">
        <v>33</v>
      </c>
      <c r="P8" s="6" t="s">
        <v>33</v>
      </c>
    </row>
    <row r="9" customFormat="false" ht="15" hidden="false" customHeight="false" outlineLevel="0" collapsed="false">
      <c r="A9" s="7" t="s">
        <v>39</v>
      </c>
      <c r="B9" s="8" t="s">
        <v>32</v>
      </c>
      <c r="C9" s="8" t="s">
        <v>32</v>
      </c>
      <c r="D9" s="8" t="s">
        <v>32</v>
      </c>
      <c r="E9" s="8" t="s">
        <v>32</v>
      </c>
      <c r="F9" s="8" t="s">
        <v>32</v>
      </c>
      <c r="G9" s="8" t="s">
        <v>32</v>
      </c>
      <c r="H9" s="8" t="s">
        <v>32</v>
      </c>
      <c r="I9" s="8" t="s">
        <v>33</v>
      </c>
      <c r="J9" s="8" t="s">
        <v>33</v>
      </c>
      <c r="K9" s="8" t="s">
        <v>33</v>
      </c>
      <c r="L9" s="8" t="s">
        <v>33</v>
      </c>
      <c r="M9" s="8" t="s">
        <v>33</v>
      </c>
      <c r="N9" s="8" t="s">
        <v>33</v>
      </c>
      <c r="O9" s="8" t="s">
        <v>33</v>
      </c>
      <c r="P9" s="9" t="s">
        <v>33</v>
      </c>
    </row>
    <row r="10" customFormat="false" ht="15" hidden="false" customHeight="false" outlineLevel="0" collapsed="false">
      <c r="A10" s="4" t="s">
        <v>40</v>
      </c>
      <c r="B10" s="5" t="s">
        <v>33</v>
      </c>
      <c r="C10" s="5" t="s">
        <v>33</v>
      </c>
      <c r="D10" s="5" t="s">
        <v>33</v>
      </c>
      <c r="E10" s="5" t="s">
        <v>32</v>
      </c>
      <c r="F10" s="5" t="s">
        <v>33</v>
      </c>
      <c r="G10" s="5" t="n">
        <v>1</v>
      </c>
      <c r="H10" s="5" t="s">
        <v>33</v>
      </c>
      <c r="I10" s="5" t="s">
        <v>33</v>
      </c>
      <c r="J10" s="5" t="s">
        <v>33</v>
      </c>
      <c r="K10" s="5" t="s">
        <v>33</v>
      </c>
      <c r="L10" s="5" t="s">
        <v>33</v>
      </c>
      <c r="M10" s="5" t="s">
        <v>33</v>
      </c>
      <c r="N10" s="5" t="s">
        <v>33</v>
      </c>
      <c r="O10" s="5" t="s">
        <v>33</v>
      </c>
      <c r="P10" s="6" t="s">
        <v>33</v>
      </c>
    </row>
    <row r="11" customFormat="false" ht="15" hidden="false" customHeight="false" outlineLevel="0" collapsed="false">
      <c r="A11" s="7" t="s">
        <v>41</v>
      </c>
      <c r="B11" s="8" t="s">
        <v>33</v>
      </c>
      <c r="C11" s="8" t="s">
        <v>33</v>
      </c>
      <c r="D11" s="8" t="s">
        <v>33</v>
      </c>
      <c r="E11" s="8" t="s">
        <v>33</v>
      </c>
      <c r="F11" s="8" t="s">
        <v>33</v>
      </c>
      <c r="G11" s="8" t="s">
        <v>32</v>
      </c>
      <c r="H11" s="8" t="s">
        <v>33</v>
      </c>
      <c r="I11" s="8" t="s">
        <v>33</v>
      </c>
      <c r="J11" s="8" t="s">
        <v>33</v>
      </c>
      <c r="K11" s="8" t="s">
        <v>33</v>
      </c>
      <c r="L11" s="8" t="s">
        <v>33</v>
      </c>
      <c r="M11" s="8" t="s">
        <v>33</v>
      </c>
      <c r="N11" s="8" t="s">
        <v>33</v>
      </c>
      <c r="O11" s="8" t="s">
        <v>33</v>
      </c>
      <c r="P11" s="9" t="s">
        <v>33</v>
      </c>
    </row>
    <row r="12" customFormat="false" ht="15" hidden="false" customHeight="false" outlineLevel="0" collapsed="false">
      <c r="A12" s="7" t="s">
        <v>42</v>
      </c>
      <c r="B12" s="8" t="s">
        <v>32</v>
      </c>
      <c r="C12" s="8" t="s">
        <v>32</v>
      </c>
      <c r="D12" s="8" t="s">
        <v>32</v>
      </c>
      <c r="E12" s="8" t="s">
        <v>32</v>
      </c>
      <c r="F12" s="8" t="s">
        <v>32</v>
      </c>
      <c r="G12" s="8" t="s">
        <v>32</v>
      </c>
      <c r="H12" s="8" t="s">
        <v>33</v>
      </c>
      <c r="I12" s="8" t="s">
        <v>33</v>
      </c>
      <c r="J12" s="8" t="s">
        <v>33</v>
      </c>
      <c r="K12" s="8" t="s">
        <v>33</v>
      </c>
      <c r="L12" s="8" t="s">
        <v>33</v>
      </c>
      <c r="M12" s="8" t="s">
        <v>33</v>
      </c>
      <c r="N12" s="8" t="s">
        <v>33</v>
      </c>
      <c r="O12" s="8" t="s">
        <v>33</v>
      </c>
      <c r="P12" s="9" t="s">
        <v>33</v>
      </c>
    </row>
    <row r="13" customFormat="false" ht="15" hidden="false" customHeight="false" outlineLevel="0" collapsed="false">
      <c r="A13" s="4" t="s">
        <v>43</v>
      </c>
      <c r="B13" s="5" t="s">
        <v>33</v>
      </c>
      <c r="C13" s="5" t="s">
        <v>33</v>
      </c>
      <c r="D13" s="5" t="s">
        <v>33</v>
      </c>
      <c r="E13" s="5" t="s">
        <v>32</v>
      </c>
      <c r="F13" s="5" t="n">
        <v>1</v>
      </c>
      <c r="G13" s="5" t="n">
        <v>1</v>
      </c>
      <c r="H13" s="5" t="s">
        <v>33</v>
      </c>
      <c r="I13" s="5" t="s">
        <v>33</v>
      </c>
      <c r="J13" s="5" t="s">
        <v>33</v>
      </c>
      <c r="K13" s="5" t="s">
        <v>33</v>
      </c>
      <c r="L13" s="5" t="s">
        <v>33</v>
      </c>
      <c r="M13" s="5" t="s">
        <v>33</v>
      </c>
      <c r="N13" s="5" t="s">
        <v>33</v>
      </c>
      <c r="O13" s="5" t="s">
        <v>33</v>
      </c>
      <c r="P13" s="6" t="s">
        <v>33</v>
      </c>
    </row>
    <row r="14" customFormat="false" ht="15" hidden="false" customHeight="false" outlineLevel="0" collapsed="false">
      <c r="A14" s="7" t="s">
        <v>44</v>
      </c>
      <c r="B14" s="8" t="s">
        <v>32</v>
      </c>
      <c r="C14" s="8" t="s">
        <v>32</v>
      </c>
      <c r="D14" s="8" t="s">
        <v>32</v>
      </c>
      <c r="E14" s="8" t="s">
        <v>32</v>
      </c>
      <c r="F14" s="8" t="s">
        <v>32</v>
      </c>
      <c r="G14" s="8" t="s">
        <v>33</v>
      </c>
      <c r="H14" s="8" t="s">
        <v>33</v>
      </c>
      <c r="I14" s="8" t="s">
        <v>33</v>
      </c>
      <c r="J14" s="8" t="s">
        <v>33</v>
      </c>
      <c r="K14" s="8" t="s">
        <v>33</v>
      </c>
      <c r="L14" s="8" t="s">
        <v>33</v>
      </c>
      <c r="M14" s="8" t="s">
        <v>33</v>
      </c>
      <c r="N14" s="8" t="s">
        <v>33</v>
      </c>
      <c r="O14" s="8" t="s">
        <v>33</v>
      </c>
      <c r="P14" s="9" t="s">
        <v>33</v>
      </c>
    </row>
    <row r="15" customFormat="false" ht="15" hidden="false" customHeight="false" outlineLevel="0" collapsed="false">
      <c r="A15" s="4" t="s">
        <v>45</v>
      </c>
      <c r="B15" s="5" t="s">
        <v>32</v>
      </c>
      <c r="C15" s="5" t="s">
        <v>32</v>
      </c>
      <c r="D15" s="5" t="s">
        <v>32</v>
      </c>
      <c r="E15" s="5" t="s">
        <v>32</v>
      </c>
      <c r="F15" s="5" t="s">
        <v>32</v>
      </c>
      <c r="G15" s="5" t="s">
        <v>32</v>
      </c>
      <c r="H15" s="5" t="s">
        <v>33</v>
      </c>
      <c r="I15" s="5" t="s">
        <v>33</v>
      </c>
      <c r="J15" s="5" t="s">
        <v>33</v>
      </c>
      <c r="K15" s="5" t="s">
        <v>33</v>
      </c>
      <c r="L15" s="5" t="s">
        <v>33</v>
      </c>
      <c r="M15" s="5" t="s">
        <v>33</v>
      </c>
      <c r="N15" s="5" t="s">
        <v>33</v>
      </c>
      <c r="O15" s="5" t="s">
        <v>33</v>
      </c>
      <c r="P15" s="6" t="s">
        <v>33</v>
      </c>
    </row>
    <row r="16" customFormat="false" ht="15" hidden="false" customHeight="false" outlineLevel="0" collapsed="false">
      <c r="A16" s="7" t="s">
        <v>46</v>
      </c>
      <c r="B16" s="8" t="s">
        <v>32</v>
      </c>
      <c r="C16" s="8" t="s">
        <v>33</v>
      </c>
      <c r="D16" s="8" t="s">
        <v>32</v>
      </c>
      <c r="E16" s="8" t="s">
        <v>32</v>
      </c>
      <c r="F16" s="8" t="s">
        <v>32</v>
      </c>
      <c r="G16" s="8" t="s">
        <v>33</v>
      </c>
      <c r="H16" s="8" t="s">
        <v>33</v>
      </c>
      <c r="I16" s="8" t="s">
        <v>33</v>
      </c>
      <c r="J16" s="8" t="s">
        <v>33</v>
      </c>
      <c r="K16" s="8" t="s">
        <v>33</v>
      </c>
      <c r="L16" s="8" t="s">
        <v>33</v>
      </c>
      <c r="M16" s="8" t="s">
        <v>33</v>
      </c>
      <c r="N16" s="8" t="s">
        <v>33</v>
      </c>
      <c r="O16" s="8" t="s">
        <v>33</v>
      </c>
      <c r="P16" s="9" t="s">
        <v>33</v>
      </c>
    </row>
  </sheetData>
  <printOptions headings="false" gridLines="false" gridLinesSet="true" horizontalCentered="false" verticalCentered="false"/>
  <pageMargins left="0.7" right="0.7" top="0.75" bottom="0.75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BE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L16" activeCellId="0" sqref="L16"/>
    </sheetView>
  </sheetViews>
  <sheetFormatPr defaultRowHeight="15" zeroHeight="false" outlineLevelRow="0" outlineLevelCol="0"/>
  <cols>
    <col collapsed="false" customWidth="true" hidden="false" outlineLevel="0" max="1" min="1" style="0" width="12.29"/>
    <col collapsed="false" customWidth="true" hidden="false" outlineLevel="0" max="8" min="2" style="0" width="8.71"/>
    <col collapsed="false" customWidth="true" hidden="false" outlineLevel="0" max="9" min="9" style="0" width="10.71"/>
    <col collapsed="false" customWidth="true" hidden="false" outlineLevel="0" max="1025" min="10" style="0" width="8.71"/>
  </cols>
  <sheetData>
    <row r="1" customFormat="false" ht="15" hidden="false" customHeight="false" outlineLevel="0" collapsed="false">
      <c r="A1" s="10"/>
      <c r="B1" s="11"/>
      <c r="C1" s="11"/>
      <c r="D1" s="11"/>
      <c r="E1" s="11"/>
      <c r="F1" s="11"/>
      <c r="G1" s="11"/>
      <c r="H1" s="11"/>
      <c r="I1" s="11"/>
      <c r="J1" s="11"/>
    </row>
    <row r="2" customFormat="false" ht="15" hidden="false" customHeight="false" outlineLevel="0" collapsed="false">
      <c r="A2" s="12"/>
      <c r="B2" s="12" t="s">
        <v>47</v>
      </c>
      <c r="C2" s="12" t="s">
        <v>48</v>
      </c>
      <c r="D2" s="12" t="s">
        <v>49</v>
      </c>
      <c r="E2" s="12" t="s">
        <v>50</v>
      </c>
      <c r="F2" s="12" t="s">
        <v>51</v>
      </c>
      <c r="G2" s="12" t="s">
        <v>52</v>
      </c>
      <c r="H2" s="12" t="s">
        <v>53</v>
      </c>
      <c r="I2" s="12" t="s">
        <v>54</v>
      </c>
      <c r="J2" s="12" t="s">
        <v>55</v>
      </c>
    </row>
    <row r="3" customFormat="false" ht="15" hidden="false" customHeight="false" outlineLevel="0" collapsed="false">
      <c r="A3" s="13" t="s">
        <v>31</v>
      </c>
      <c r="B3" s="13" t="n">
        <v>2</v>
      </c>
      <c r="C3" s="13" t="n">
        <v>2</v>
      </c>
      <c r="D3" s="13" t="n">
        <v>2</v>
      </c>
      <c r="E3" s="13" t="n">
        <v>2</v>
      </c>
      <c r="F3" s="13" t="n">
        <v>2</v>
      </c>
      <c r="G3" s="13" t="n">
        <v>6</v>
      </c>
      <c r="H3" s="13" t="n">
        <v>8</v>
      </c>
      <c r="I3" s="13"/>
      <c r="J3" s="13" t="n">
        <f aca="false">MIN(10, ROUNDUP((B3+C3+D3+E3+F3)/3+G3/3+H3/3+I3,0))</f>
        <v>8</v>
      </c>
    </row>
    <row r="4" customFormat="false" ht="15" hidden="false" customHeight="false" outlineLevel="0" collapsed="false">
      <c r="A4" s="12" t="s">
        <v>34</v>
      </c>
      <c r="B4" s="12" t="n">
        <v>2</v>
      </c>
      <c r="C4" s="12" t="n">
        <v>2</v>
      </c>
      <c r="D4" s="12" t="n">
        <v>2</v>
      </c>
      <c r="E4" s="12" t="n">
        <v>2</v>
      </c>
      <c r="F4" s="12" t="n">
        <v>2</v>
      </c>
      <c r="G4" s="12" t="n">
        <v>8</v>
      </c>
      <c r="H4" s="12" t="n">
        <v>4</v>
      </c>
      <c r="I4" s="12"/>
      <c r="J4" s="13" t="n">
        <f aca="false">MIN(10, ROUNDUP((B4+C4+D4+E4+F4)/3+G4/3+H4/3+I4,0))</f>
        <v>8</v>
      </c>
    </row>
    <row r="5" customFormat="false" ht="15" hidden="false" customHeight="false" outlineLevel="0" collapsed="false">
      <c r="A5" s="13" t="s">
        <v>35</v>
      </c>
      <c r="B5" s="13" t="n">
        <v>2</v>
      </c>
      <c r="C5" s="13" t="n">
        <v>2</v>
      </c>
      <c r="D5" s="13" t="n">
        <v>2</v>
      </c>
      <c r="E5" s="13" t="n">
        <v>2</v>
      </c>
      <c r="F5" s="13" t="n">
        <v>2</v>
      </c>
      <c r="G5" s="13" t="n">
        <v>9</v>
      </c>
      <c r="H5" s="13" t="n">
        <v>7</v>
      </c>
      <c r="I5" s="13"/>
      <c r="J5" s="13" t="n">
        <f aca="false">MIN(10, ROUNDUP((B5+C5+D5+E5+F5)/3+G5/3+H5/3+I5,0))</f>
        <v>9</v>
      </c>
    </row>
    <row r="6" customFormat="false" ht="15" hidden="false" customHeight="false" outlineLevel="0" collapsed="false">
      <c r="A6" s="12" t="s">
        <v>36</v>
      </c>
      <c r="B6" s="12" t="n">
        <v>2</v>
      </c>
      <c r="C6" s="12" t="n">
        <v>2</v>
      </c>
      <c r="D6" s="12" t="n">
        <v>2</v>
      </c>
      <c r="E6" s="12" t="n">
        <v>2</v>
      </c>
      <c r="F6" s="12" t="n">
        <v>2</v>
      </c>
      <c r="G6" s="12" t="n">
        <v>6</v>
      </c>
      <c r="H6" s="12" t="n">
        <v>7</v>
      </c>
      <c r="I6" s="12"/>
      <c r="J6" s="13" t="n">
        <f aca="false">MIN(10, ROUNDUP((B6+C6+D6+E6+F6)/3+G6/3+H6/3+I6,0))</f>
        <v>8</v>
      </c>
    </row>
    <row r="7" customFormat="false" ht="15" hidden="false" customHeight="false" outlineLevel="0" collapsed="false">
      <c r="A7" s="12" t="s">
        <v>37</v>
      </c>
      <c r="B7" s="12" t="n">
        <v>2</v>
      </c>
      <c r="C7" s="12" t="n">
        <v>2</v>
      </c>
      <c r="D7" s="12" t="n">
        <v>2</v>
      </c>
      <c r="E7" s="12" t="n">
        <v>2</v>
      </c>
      <c r="F7" s="12" t="n">
        <v>2</v>
      </c>
      <c r="G7" s="12" t="n">
        <v>8</v>
      </c>
      <c r="H7" s="12" t="n">
        <v>7</v>
      </c>
      <c r="I7" s="12"/>
      <c r="J7" s="13" t="n">
        <f aca="false">MIN(10, ROUNDUP((B7+C7+D7+E7+F7)/3+G7/3+H7/3+I7,0))</f>
        <v>9</v>
      </c>
    </row>
    <row r="8" customFormat="false" ht="15" hidden="false" customHeight="false" outlineLevel="0" collapsed="false">
      <c r="A8" s="12" t="s">
        <v>38</v>
      </c>
      <c r="B8" s="12" t="n">
        <v>1</v>
      </c>
      <c r="C8" s="12"/>
      <c r="D8" s="12" t="n">
        <v>2</v>
      </c>
      <c r="E8" s="12" t="n">
        <v>2</v>
      </c>
      <c r="F8" s="12" t="n">
        <v>2</v>
      </c>
      <c r="G8" s="12" t="n">
        <v>9</v>
      </c>
      <c r="H8" s="12" t="n">
        <v>3</v>
      </c>
      <c r="I8" s="12"/>
      <c r="J8" s="13" t="n">
        <f aca="false">MIN(10, ROUNDUP((B8+C8+D8+E8+F8)/3+G8/3+H8/3+I8,0))</f>
        <v>7</v>
      </c>
    </row>
    <row r="9" customFormat="false" ht="15" hidden="false" customHeight="false" outlineLevel="0" collapsed="false">
      <c r="A9" s="13" t="s">
        <v>39</v>
      </c>
      <c r="B9" s="13" t="n">
        <v>2</v>
      </c>
      <c r="C9" s="13" t="n">
        <v>2</v>
      </c>
      <c r="D9" s="13" t="n">
        <v>2</v>
      </c>
      <c r="E9" s="13" t="n">
        <v>2</v>
      </c>
      <c r="F9" s="13" t="n">
        <v>2</v>
      </c>
      <c r="G9" s="13" t="n">
        <v>6</v>
      </c>
      <c r="H9" s="13" t="n">
        <v>10</v>
      </c>
      <c r="I9" s="13"/>
      <c r="J9" s="13" t="n">
        <f aca="false">MIN(10, ROUNDUP((B9+C9+D9+E9+F9)/3+G9/3+H9/3+I9,0))</f>
        <v>9</v>
      </c>
    </row>
    <row r="10" customFormat="false" ht="15" hidden="false" customHeight="false" outlineLevel="0" collapsed="false">
      <c r="A10" s="12" t="s">
        <v>40</v>
      </c>
      <c r="B10" s="12" t="n">
        <v>2</v>
      </c>
      <c r="C10" s="12" t="n">
        <v>2</v>
      </c>
      <c r="D10" s="12" t="n">
        <v>2</v>
      </c>
      <c r="E10" s="12" t="n">
        <v>2</v>
      </c>
      <c r="F10" s="12" t="n">
        <v>2</v>
      </c>
      <c r="G10" s="12" t="n">
        <v>7</v>
      </c>
      <c r="H10" s="12" t="n">
        <v>3</v>
      </c>
      <c r="I10" s="12"/>
      <c r="J10" s="13" t="n">
        <f aca="false">MIN(10, ROUNDUP((B10+C10+D10+E10+F10)/3+G10/3+H10/3+I10,0))</f>
        <v>7</v>
      </c>
    </row>
    <row r="11" customFormat="false" ht="15" hidden="false" customHeight="false" outlineLevel="0" collapsed="false">
      <c r="A11" s="13" t="s">
        <v>41</v>
      </c>
      <c r="B11" s="13"/>
      <c r="C11" s="13"/>
      <c r="D11" s="13"/>
      <c r="E11" s="13"/>
      <c r="F11" s="13"/>
      <c r="G11" s="13" t="n">
        <v>10</v>
      </c>
      <c r="H11" s="13"/>
      <c r="I11" s="13"/>
      <c r="J11" s="13" t="n">
        <f aca="false">MIN(10, ROUNDUP((B11+C11+D11+E11+F11)/3+G11/3+H11/3+I11,0))</f>
        <v>4</v>
      </c>
    </row>
    <row r="12" customFormat="false" ht="15" hidden="false" customHeight="false" outlineLevel="0" collapsed="false">
      <c r="A12" s="13" t="s">
        <v>42</v>
      </c>
      <c r="B12" s="13" t="n">
        <v>2</v>
      </c>
      <c r="C12" s="13" t="n">
        <v>2</v>
      </c>
      <c r="D12" s="13" t="n">
        <v>2</v>
      </c>
      <c r="E12" s="13" t="n">
        <v>2</v>
      </c>
      <c r="F12" s="13" t="n">
        <v>2</v>
      </c>
      <c r="G12" s="13" t="n">
        <v>7</v>
      </c>
      <c r="H12" s="13" t="n">
        <v>6</v>
      </c>
      <c r="I12" s="13"/>
      <c r="J12" s="13" t="n">
        <f aca="false">MIN(10, ROUNDUP((B12+C12+D12+E12+F12)/3+G12/3+H12/3+I12,0))</f>
        <v>8</v>
      </c>
    </row>
    <row r="13" customFormat="false" ht="15" hidden="false" customHeight="false" outlineLevel="0" collapsed="false">
      <c r="A13" s="12" t="s">
        <v>43</v>
      </c>
      <c r="B13" s="12"/>
      <c r="C13" s="12"/>
      <c r="D13" s="12" t="n">
        <v>2</v>
      </c>
      <c r="E13" s="12" t="n">
        <v>2</v>
      </c>
      <c r="F13" s="12" t="n">
        <v>2</v>
      </c>
      <c r="G13" s="12" t="n">
        <v>6</v>
      </c>
      <c r="H13" s="12" t="n">
        <v>7</v>
      </c>
      <c r="I13" s="12"/>
      <c r="J13" s="13" t="n">
        <f aca="false">MIN(10, ROUNDUP((B13+C13+D13+E13+F13)/3+G13/3+H13/3+I13,0))</f>
        <v>7</v>
      </c>
    </row>
    <row r="14" customFormat="false" ht="15" hidden="false" customHeight="false" outlineLevel="0" collapsed="false">
      <c r="A14" s="13" t="s">
        <v>44</v>
      </c>
      <c r="B14" s="13" t="n">
        <v>2</v>
      </c>
      <c r="C14" s="13" t="n">
        <v>2</v>
      </c>
      <c r="D14" s="13" t="n">
        <v>2</v>
      </c>
      <c r="E14" s="13" t="n">
        <v>2</v>
      </c>
      <c r="F14" s="13" t="n">
        <v>2</v>
      </c>
      <c r="G14" s="13" t="n">
        <v>8</v>
      </c>
      <c r="H14" s="13" t="n">
        <v>7</v>
      </c>
      <c r="I14" s="13"/>
      <c r="J14" s="13" t="n">
        <f aca="false">MIN(10, ROUNDUP((B14+C14+D14+E14+F14)/3+G14/3+H14/3+I14,0))</f>
        <v>9</v>
      </c>
    </row>
    <row r="15" customFormat="false" ht="15" hidden="false" customHeight="false" outlineLevel="0" collapsed="false">
      <c r="A15" s="12" t="s">
        <v>45</v>
      </c>
      <c r="B15" s="12"/>
      <c r="C15" s="12" t="n">
        <v>2</v>
      </c>
      <c r="D15" s="12"/>
      <c r="E15" s="12"/>
      <c r="F15" s="12"/>
      <c r="G15" s="12" t="n">
        <v>9</v>
      </c>
      <c r="H15" s="12" t="n">
        <v>4</v>
      </c>
      <c r="I15" s="12"/>
      <c r="J15" s="13" t="n">
        <f aca="false">MIN(10, ROUNDUP((B15+C15+D15+E15+F15)/3+G15/3+H15/3+I15,0))</f>
        <v>5</v>
      </c>
    </row>
    <row r="16" customFormat="false" ht="15" hidden="false" customHeight="false" outlineLevel="0" collapsed="false">
      <c r="A16" s="13" t="s">
        <v>46</v>
      </c>
      <c r="B16" s="13" t="n">
        <v>2</v>
      </c>
      <c r="C16" s="13" t="n">
        <v>2</v>
      </c>
      <c r="D16" s="13" t="n">
        <v>2</v>
      </c>
      <c r="E16" s="13" t="n">
        <v>2</v>
      </c>
      <c r="F16" s="13" t="n">
        <v>2</v>
      </c>
      <c r="G16" s="13" t="n">
        <v>6</v>
      </c>
      <c r="H16" s="13" t="n">
        <v>7</v>
      </c>
      <c r="I16" s="13"/>
      <c r="J16" s="13" t="n">
        <f aca="false">MIN(10, ROUNDUP((B16+C16+D16+E16+F16)/3+G16/3+H16/3+I16,0))</f>
        <v>8</v>
      </c>
    </row>
    <row r="17" customFormat="false" ht="15" hidden="false" customHeight="false" outlineLevel="0" collapsed="false">
      <c r="K17" s="8"/>
    </row>
    <row r="19" customFormat="false" ht="15" hidden="false" customHeight="false" outlineLevel="0" collapsed="false">
      <c r="L19" s="8"/>
      <c r="M19" s="8"/>
      <c r="N19" s="8"/>
      <c r="O19" s="8"/>
      <c r="P19" s="9"/>
    </row>
    <row r="26" customFormat="false" ht="15" hidden="false" customHeight="false" outlineLevel="0" collapsed="false">
      <c r="A26" s="14"/>
      <c r="B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  <c r="AJ26" s="14"/>
      <c r="AK26" s="14"/>
      <c r="AL26" s="14"/>
      <c r="AM26" s="14"/>
      <c r="AN26" s="14"/>
      <c r="AO26" s="14"/>
      <c r="AP26" s="14"/>
      <c r="AQ26" s="14"/>
      <c r="AR26" s="14"/>
      <c r="AS26" s="14"/>
      <c r="AT26" s="14"/>
      <c r="AU26" s="14"/>
      <c r="AV26" s="14"/>
      <c r="AW26" s="14"/>
      <c r="AX26" s="14"/>
      <c r="AY26" s="14"/>
      <c r="AZ26" s="14"/>
      <c r="BA26" s="14"/>
      <c r="BB26" s="14"/>
      <c r="BC26" s="14"/>
      <c r="BD26" s="14" t="n">
        <v>18</v>
      </c>
      <c r="BE26" s="14" t="n">
        <v>11</v>
      </c>
    </row>
    <row r="27" customFormat="false" ht="15" hidden="false" customHeight="false" outlineLevel="0" collapsed="false">
      <c r="A27" s="14"/>
      <c r="B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  <c r="AJ27" s="14"/>
      <c r="AK27" s="14"/>
      <c r="AL27" s="14"/>
      <c r="AM27" s="14"/>
      <c r="AN27" s="14"/>
      <c r="AO27" s="14"/>
      <c r="AP27" s="14"/>
      <c r="AQ27" s="14"/>
      <c r="AR27" s="14"/>
      <c r="AS27" s="14"/>
      <c r="AT27" s="14"/>
      <c r="AU27" s="14"/>
      <c r="AV27" s="14"/>
      <c r="AW27" s="14"/>
      <c r="AX27" s="14"/>
      <c r="AY27" s="14"/>
      <c r="AZ27" s="14"/>
      <c r="BA27" s="14"/>
      <c r="BB27" s="14"/>
      <c r="BC27" s="14"/>
      <c r="BD27" s="14" t="n">
        <v>11</v>
      </c>
      <c r="BE27" s="14" t="n">
        <v>20</v>
      </c>
    </row>
    <row r="28" customFormat="false" ht="15" hidden="false" customHeight="false" outlineLevel="0" collapsed="false">
      <c r="A28" s="14"/>
      <c r="B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  <c r="AJ28" s="14"/>
      <c r="AK28" s="14"/>
      <c r="AL28" s="14"/>
      <c r="AM28" s="14"/>
      <c r="AN28" s="14"/>
      <c r="AO28" s="14"/>
      <c r="AP28" s="14"/>
      <c r="AQ28" s="14"/>
      <c r="AR28" s="14"/>
      <c r="AS28" s="14"/>
      <c r="AT28" s="14"/>
      <c r="AU28" s="14"/>
      <c r="AV28" s="14"/>
      <c r="AW28" s="14"/>
      <c r="AX28" s="14"/>
      <c r="AY28" s="14"/>
      <c r="AZ28" s="14"/>
      <c r="BA28" s="14"/>
      <c r="BB28" s="14"/>
      <c r="BC28" s="14"/>
      <c r="BD28" s="14" t="n">
        <v>0</v>
      </c>
      <c r="BE28" s="14" t="n">
        <v>54</v>
      </c>
    </row>
    <row r="29" customFormat="false" ht="15" hidden="false" customHeight="false" outlineLevel="0" collapsed="false">
      <c r="A29" s="14"/>
      <c r="B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  <c r="AJ29" s="14"/>
      <c r="AK29" s="14"/>
      <c r="AL29" s="14"/>
      <c r="AM29" s="14"/>
      <c r="AN29" s="14"/>
      <c r="AO29" s="14"/>
      <c r="AP29" s="14"/>
      <c r="AQ29" s="14"/>
      <c r="AR29" s="14"/>
      <c r="AS29" s="14"/>
      <c r="AT29" s="14"/>
      <c r="AU29" s="14"/>
      <c r="AV29" s="14"/>
      <c r="AW29" s="14"/>
      <c r="AX29" s="14"/>
      <c r="AY29" s="14"/>
      <c r="AZ29" s="14"/>
      <c r="BA29" s="14"/>
      <c r="BB29" s="14"/>
      <c r="BC29" s="14"/>
      <c r="BD29" s="14" t="n">
        <v>8</v>
      </c>
      <c r="BE29" s="14" t="n">
        <v>31</v>
      </c>
    </row>
    <row r="30" customFormat="false" ht="15" hidden="false" customHeight="false" outlineLevel="0" collapsed="false">
      <c r="A30" s="14"/>
      <c r="B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  <c r="AJ30" s="14"/>
      <c r="AK30" s="14"/>
      <c r="AL30" s="14"/>
      <c r="AM30" s="14"/>
      <c r="AN30" s="14"/>
      <c r="AO30" s="14"/>
      <c r="AP30" s="14"/>
      <c r="AQ30" s="14"/>
      <c r="AR30" s="14"/>
      <c r="AS30" s="14"/>
      <c r="AT30" s="14"/>
      <c r="AU30" s="14"/>
      <c r="AV30" s="14"/>
      <c r="AW30" s="14"/>
      <c r="AX30" s="14"/>
      <c r="AY30" s="14"/>
      <c r="AZ30" s="14"/>
      <c r="BA30" s="14"/>
      <c r="BB30" s="14"/>
      <c r="BC30" s="14"/>
      <c r="BD30" s="14" t="n">
        <v>21</v>
      </c>
      <c r="BE30" s="14" t="n">
        <v>36</v>
      </c>
    </row>
    <row r="31" customFormat="false" ht="15" hidden="false" customHeight="false" outlineLevel="0" collapsed="false">
      <c r="A31" s="14"/>
      <c r="B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  <c r="AJ31" s="14"/>
      <c r="AK31" s="14"/>
      <c r="AL31" s="14"/>
      <c r="AM31" s="14"/>
      <c r="AN31" s="14"/>
      <c r="AO31" s="14"/>
      <c r="AP31" s="14"/>
      <c r="AQ31" s="14"/>
      <c r="AR31" s="14"/>
      <c r="AS31" s="14"/>
      <c r="AT31" s="14"/>
      <c r="AU31" s="14"/>
      <c r="AV31" s="14"/>
      <c r="AW31" s="14"/>
      <c r="AX31" s="14"/>
      <c r="AY31" s="14"/>
      <c r="AZ31" s="14"/>
      <c r="BA31" s="14"/>
      <c r="BB31" s="14"/>
      <c r="BC31" s="14"/>
      <c r="BD31" s="14" t="n">
        <v>2</v>
      </c>
      <c r="BE31" s="14" t="n">
        <v>17</v>
      </c>
    </row>
    <row r="32" customFormat="false" ht="15" hidden="false" customHeight="false" outlineLevel="0" collapsed="false">
      <c r="A32" s="14"/>
      <c r="B32" s="14"/>
      <c r="E32" s="14"/>
      <c r="F32" s="14"/>
      <c r="G32" s="14"/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  <c r="AJ32" s="14"/>
      <c r="AK32" s="14"/>
      <c r="AL32" s="14"/>
      <c r="AM32" s="14"/>
      <c r="AN32" s="14"/>
      <c r="AO32" s="14"/>
      <c r="AP32" s="14"/>
      <c r="AQ32" s="14"/>
      <c r="AR32" s="14"/>
      <c r="AS32" s="14"/>
      <c r="AT32" s="14"/>
      <c r="AU32" s="14"/>
      <c r="AV32" s="14"/>
      <c r="AW32" s="14"/>
      <c r="AX32" s="14"/>
      <c r="AY32" s="14"/>
      <c r="AZ32" s="14"/>
      <c r="BA32" s="14"/>
      <c r="BB32" s="14"/>
      <c r="BC32" s="14"/>
      <c r="BD32" s="14" t="n">
        <v>0</v>
      </c>
      <c r="BE32" s="14" t="n">
        <v>32</v>
      </c>
    </row>
    <row r="33" customFormat="false" ht="15" hidden="false" customHeight="false" outlineLevel="0" collapsed="false">
      <c r="A33" s="14"/>
      <c r="B33" s="14"/>
      <c r="E33" s="14"/>
      <c r="F33" s="14"/>
      <c r="G33" s="14"/>
      <c r="H33" s="14"/>
      <c r="I33" s="14"/>
      <c r="J33" s="14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  <c r="AJ33" s="14"/>
      <c r="AK33" s="14"/>
      <c r="AL33" s="14"/>
      <c r="AM33" s="14"/>
      <c r="AN33" s="14"/>
      <c r="AO33" s="14"/>
      <c r="AP33" s="14"/>
      <c r="AQ33" s="14"/>
      <c r="AR33" s="14"/>
      <c r="AS33" s="14"/>
      <c r="AT33" s="14"/>
      <c r="AU33" s="14"/>
      <c r="AV33" s="14"/>
      <c r="AW33" s="14"/>
      <c r="AX33" s="14"/>
      <c r="AY33" s="14"/>
      <c r="AZ33" s="14"/>
      <c r="BA33" s="14"/>
      <c r="BB33" s="14"/>
      <c r="BC33" s="14"/>
      <c r="BD33" s="14" t="n">
        <v>23</v>
      </c>
      <c r="BE33" s="14" t="n">
        <v>20</v>
      </c>
    </row>
    <row r="34" customFormat="false" ht="15" hidden="false" customHeight="false" outlineLevel="0" collapsed="false">
      <c r="A34" s="14"/>
      <c r="B34" s="14"/>
      <c r="E34" s="14"/>
      <c r="F34" s="14"/>
      <c r="G34" s="14"/>
      <c r="H34" s="14"/>
      <c r="I34" s="14"/>
      <c r="J34" s="14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  <c r="AJ34" s="14"/>
      <c r="AK34" s="14"/>
      <c r="AL34" s="14"/>
      <c r="AM34" s="14"/>
      <c r="AN34" s="14"/>
      <c r="AO34" s="14"/>
      <c r="AP34" s="14"/>
      <c r="AQ34" s="14"/>
      <c r="AR34" s="14"/>
      <c r="AS34" s="14"/>
      <c r="AT34" s="14"/>
      <c r="AU34" s="14"/>
      <c r="AV34" s="14"/>
      <c r="AW34" s="14"/>
      <c r="AX34" s="14"/>
      <c r="AY34" s="14"/>
      <c r="AZ34" s="14"/>
      <c r="BA34" s="14"/>
      <c r="BB34" s="14"/>
      <c r="BC34" s="14"/>
      <c r="BD34" s="14" t="n">
        <v>18</v>
      </c>
      <c r="BE34" s="14" t="n">
        <v>4</v>
      </c>
    </row>
    <row r="35" customFormat="false" ht="15" hidden="false" customHeight="false" outlineLevel="0" collapsed="false">
      <c r="A35" s="14"/>
      <c r="B35" s="14"/>
      <c r="E35" s="14"/>
      <c r="F35" s="14"/>
      <c r="G35" s="14"/>
      <c r="H35" s="14"/>
      <c r="I35" s="14"/>
      <c r="J35" s="14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  <c r="AJ35" s="14"/>
      <c r="AK35" s="14"/>
      <c r="AL35" s="14"/>
      <c r="AM35" s="14"/>
      <c r="AN35" s="14"/>
      <c r="AO35" s="14"/>
      <c r="AP35" s="14"/>
      <c r="AQ35" s="14"/>
      <c r="AR35" s="14"/>
      <c r="AS35" s="14"/>
      <c r="AT35" s="14"/>
      <c r="AU35" s="14"/>
      <c r="AV35" s="14"/>
      <c r="AW35" s="14"/>
      <c r="AX35" s="14"/>
      <c r="AY35" s="14"/>
      <c r="AZ35" s="14"/>
      <c r="BA35" s="14"/>
      <c r="BB35" s="14"/>
      <c r="BC35" s="14"/>
      <c r="BD35" s="14" t="n">
        <v>17</v>
      </c>
      <c r="BE35" s="14" t="n">
        <v>14</v>
      </c>
    </row>
    <row r="36" customFormat="false" ht="15" hidden="false" customHeight="false" outlineLevel="0" collapsed="false">
      <c r="A36" s="14"/>
      <c r="B36" s="14"/>
      <c r="E36" s="14"/>
      <c r="F36" s="14"/>
      <c r="G36" s="14"/>
      <c r="H36" s="14"/>
      <c r="I36" s="14"/>
      <c r="J36" s="14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  <c r="AJ36" s="14"/>
      <c r="AK36" s="14"/>
      <c r="AL36" s="14"/>
      <c r="AM36" s="14"/>
      <c r="AN36" s="14"/>
      <c r="AO36" s="14"/>
      <c r="AP36" s="14"/>
      <c r="AQ36" s="14"/>
      <c r="AR36" s="14"/>
      <c r="AS36" s="14"/>
      <c r="AT36" s="14"/>
      <c r="AU36" s="14"/>
      <c r="AV36" s="14"/>
      <c r="AW36" s="14"/>
      <c r="AX36" s="14"/>
      <c r="AY36" s="14"/>
      <c r="AZ36" s="14"/>
      <c r="BA36" s="14"/>
      <c r="BB36" s="14"/>
      <c r="BC36" s="14"/>
      <c r="BD36" s="14" t="n">
        <v>17</v>
      </c>
      <c r="BE36" s="14" t="n">
        <v>46</v>
      </c>
    </row>
    <row r="37" customFormat="false" ht="15" hidden="false" customHeight="false" outlineLevel="0" collapsed="false">
      <c r="A37" s="14"/>
      <c r="B37" s="14"/>
      <c r="E37" s="14"/>
      <c r="F37" s="14"/>
      <c r="G37" s="14"/>
      <c r="H37" s="14"/>
      <c r="I37" s="14"/>
      <c r="J37" s="14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  <c r="AJ37" s="14"/>
      <c r="AK37" s="14"/>
      <c r="AL37" s="14"/>
      <c r="AM37" s="14"/>
      <c r="AN37" s="14"/>
      <c r="AO37" s="14"/>
      <c r="AP37" s="14"/>
      <c r="AQ37" s="14"/>
      <c r="AR37" s="14"/>
      <c r="AS37" s="14"/>
      <c r="AT37" s="14"/>
      <c r="AU37" s="14"/>
      <c r="AV37" s="14"/>
      <c r="AW37" s="14"/>
      <c r="AX37" s="14"/>
      <c r="AY37" s="14"/>
      <c r="AZ37" s="14"/>
      <c r="BA37" s="14"/>
      <c r="BB37" s="14"/>
      <c r="BC37" s="14"/>
      <c r="BD37" s="14" t="n">
        <v>18</v>
      </c>
      <c r="BE37" s="14" t="n">
        <v>2</v>
      </c>
    </row>
  </sheetData>
  <printOptions headings="false" gridLines="false" gridLinesSet="true" horizontalCentered="false" verticalCentered="false"/>
  <pageMargins left="0.7" right="0.7" top="0.75" bottom="0.75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J1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H12" activeCellId="0" sqref="H12"/>
    </sheetView>
  </sheetViews>
  <sheetFormatPr defaultRowHeight="13.8" zeroHeight="false" outlineLevelRow="0" outlineLevelCol="0"/>
  <sheetData>
    <row r="1" customFormat="false" ht="13.8" hidden="false" customHeight="false" outlineLevel="0" collapsed="false">
      <c r="A1" s="10"/>
      <c r="B1" s="11"/>
      <c r="C1" s="11"/>
      <c r="D1" s="11"/>
      <c r="E1" s="11"/>
      <c r="F1" s="11"/>
      <c r="G1" s="11"/>
      <c r="H1" s="11"/>
      <c r="I1" s="11"/>
      <c r="J1" s="11"/>
    </row>
    <row r="2" customFormat="false" ht="13.8" hidden="false" customHeight="false" outlineLevel="0" collapsed="false">
      <c r="A2" s="12"/>
      <c r="B2" s="12" t="s">
        <v>56</v>
      </c>
      <c r="C2" s="12" t="s">
        <v>57</v>
      </c>
      <c r="D2" s="12" t="s">
        <v>58</v>
      </c>
      <c r="E2" s="13" t="s">
        <v>59</v>
      </c>
      <c r="J2" s="13"/>
    </row>
    <row r="3" customFormat="false" ht="13.8" hidden="false" customHeight="false" outlineLevel="0" collapsed="false">
      <c r="A3" s="13" t="s">
        <v>31</v>
      </c>
      <c r="B3" s="13" t="n">
        <v>9</v>
      </c>
      <c r="C3" s="13"/>
      <c r="D3" s="13"/>
      <c r="E3" s="12" t="n">
        <f aca="false">MIN(ROUND((B3+C3+D3) / 3,0), 10)</f>
        <v>3</v>
      </c>
      <c r="J3" s="13"/>
    </row>
    <row r="4" customFormat="false" ht="13.8" hidden="false" customHeight="false" outlineLevel="0" collapsed="false">
      <c r="A4" s="12" t="s">
        <v>34</v>
      </c>
      <c r="B4" s="12" t="n">
        <v>5</v>
      </c>
      <c r="C4" s="12"/>
      <c r="D4" s="12"/>
      <c r="E4" s="12" t="n">
        <f aca="false">MIN(ROUND((B4+C4+D4) / 3,0), 10)</f>
        <v>2</v>
      </c>
    </row>
    <row r="5" customFormat="false" ht="13.8" hidden="false" customHeight="false" outlineLevel="0" collapsed="false">
      <c r="A5" s="13" t="s">
        <v>35</v>
      </c>
      <c r="B5" s="13"/>
      <c r="C5" s="13"/>
      <c r="D5" s="13"/>
      <c r="E5" s="12" t="n">
        <f aca="false">MIN(ROUND((C5+D5) / 2,0), 10)</f>
        <v>0</v>
      </c>
    </row>
    <row r="6" customFormat="false" ht="13.8" hidden="false" customHeight="false" outlineLevel="0" collapsed="false">
      <c r="A6" s="12" t="s">
        <v>36</v>
      </c>
      <c r="B6" s="12" t="n">
        <v>10</v>
      </c>
      <c r="C6" s="12"/>
      <c r="D6" s="12"/>
      <c r="E6" s="12" t="n">
        <f aca="false">MIN(ROUND((B6+C6+D6) / 3,0), 10)</f>
        <v>3</v>
      </c>
    </row>
    <row r="7" customFormat="false" ht="13.8" hidden="false" customHeight="false" outlineLevel="0" collapsed="false">
      <c r="A7" s="12" t="s">
        <v>37</v>
      </c>
      <c r="B7" s="12" t="n">
        <v>5</v>
      </c>
      <c r="C7" s="12"/>
      <c r="D7" s="12"/>
      <c r="E7" s="12" t="n">
        <f aca="false">MIN(ROUND((B7+C7+D7) / 3,0), 10)</f>
        <v>2</v>
      </c>
    </row>
    <row r="8" customFormat="false" ht="13.8" hidden="false" customHeight="false" outlineLevel="0" collapsed="false">
      <c r="A8" s="12" t="s">
        <v>38</v>
      </c>
      <c r="B8" s="12" t="n">
        <v>10</v>
      </c>
      <c r="C8" s="12"/>
      <c r="D8" s="12"/>
      <c r="E8" s="12" t="n">
        <f aca="false">MIN(ROUND((B8+C8+D8) / 3,0), 10)</f>
        <v>3</v>
      </c>
    </row>
    <row r="9" customFormat="false" ht="13.8" hidden="false" customHeight="false" outlineLevel="0" collapsed="false">
      <c r="A9" s="13" t="s">
        <v>39</v>
      </c>
      <c r="B9" s="13" t="n">
        <v>8</v>
      </c>
      <c r="C9" s="13"/>
      <c r="D9" s="13"/>
      <c r="E9" s="12" t="n">
        <f aca="false">MIN(ROUND((B9+C9+D9) / 3,0), 10)</f>
        <v>3</v>
      </c>
    </row>
    <row r="10" customFormat="false" ht="13.8" hidden="false" customHeight="false" outlineLevel="0" collapsed="false">
      <c r="A10" s="12" t="s">
        <v>40</v>
      </c>
      <c r="B10" s="12" t="n">
        <v>5</v>
      </c>
      <c r="C10" s="12"/>
      <c r="D10" s="12"/>
      <c r="E10" s="12" t="n">
        <f aca="false">MIN(ROUND((B10+C10+D10) / 3,0), 10)</f>
        <v>2</v>
      </c>
    </row>
    <row r="11" customFormat="false" ht="13.8" hidden="false" customHeight="false" outlineLevel="0" collapsed="false">
      <c r="A11" s="13" t="s">
        <v>42</v>
      </c>
      <c r="B11" s="13" t="n">
        <v>8</v>
      </c>
      <c r="C11" s="13"/>
      <c r="D11" s="13"/>
      <c r="E11" s="12" t="n">
        <f aca="false">MIN(ROUND((B11+C11+D11) / 3,0), 10)</f>
        <v>3</v>
      </c>
    </row>
    <row r="12" customFormat="false" ht="13.8" hidden="false" customHeight="false" outlineLevel="0" collapsed="false">
      <c r="A12" s="12" t="s">
        <v>43</v>
      </c>
      <c r="B12" s="12" t="n">
        <v>5</v>
      </c>
      <c r="C12" s="12"/>
      <c r="D12" s="12"/>
      <c r="E12" s="12" t="n">
        <f aca="false">MIN(ROUND((B12+C12+D12) / 3,0), 10)</f>
        <v>2</v>
      </c>
    </row>
    <row r="13" customFormat="false" ht="13.8" hidden="false" customHeight="false" outlineLevel="0" collapsed="false">
      <c r="A13" s="13" t="s">
        <v>44</v>
      </c>
      <c r="B13" s="13" t="n">
        <v>8</v>
      </c>
      <c r="C13" s="13"/>
      <c r="D13" s="13"/>
      <c r="E13" s="12" t="n">
        <f aca="false">MIN(ROUND((B13+C13+D13) / 3,0), 10)</f>
        <v>3</v>
      </c>
    </row>
    <row r="14" customFormat="false" ht="13.8" hidden="false" customHeight="false" outlineLevel="0" collapsed="false">
      <c r="A14" s="12" t="s">
        <v>45</v>
      </c>
      <c r="B14" s="12" t="n">
        <v>0</v>
      </c>
      <c r="C14" s="12"/>
      <c r="D14" s="12"/>
      <c r="E14" s="12" t="n">
        <f aca="false">MIN(ROUND((B14+C14+D14) / 3,0), 10)</f>
        <v>0</v>
      </c>
    </row>
    <row r="15" customFormat="false" ht="13.8" hidden="false" customHeight="false" outlineLevel="0" collapsed="false">
      <c r="A15" s="13" t="s">
        <v>46</v>
      </c>
      <c r="B15" s="13" t="n">
        <v>5</v>
      </c>
      <c r="C15" s="13"/>
      <c r="D15" s="13"/>
      <c r="E15" s="12" t="n">
        <f aca="false">MIN(ROUND((B15+C15+D15) / 3,0), 10)</f>
        <v>2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149</TotalTime>
  <Application>LibreOffice/5.3.6.1$Linux_X86_64 LibreOffice_project/30$Build-1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2025-10-13T12:02:52Z</dcterms:created>
  <dc:creator>Ivan Smirnov</dc:creator>
  <dc:description/>
  <dc:language>ru-RU</dc:language>
  <cp:lastModifiedBy/>
  <dcterms:modified xsi:type="dcterms:W3CDTF">2026-05-04T15:45:13Z</dcterms:modified>
  <cp:revision>26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0</vt:bool>
  </property>
  <property fmtid="{D5CDD505-2E9C-101B-9397-08002B2CF9AE}" pid="5" name="LinksUpToDate">
    <vt:bool>0</vt:bool>
  </property>
  <property fmtid="{D5CDD505-2E9C-101B-9397-08002B2CF9AE}" pid="6" name="ScaleCrop">
    <vt:bool>0</vt:bool>
  </property>
  <property fmtid="{D5CDD505-2E9C-101B-9397-08002B2CF9AE}" pid="7" name="ShareDoc">
    <vt:bool>0</vt:bool>
  </property>
</Properties>
</file>