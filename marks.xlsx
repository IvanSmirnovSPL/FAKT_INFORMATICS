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посещения" sheetId="1" state="visible" r:id="rId2"/>
    <sheet name="оценки" sheetId="2" state="visible" r:id="rId3"/>
    <sheet name="оценки 2 семестр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<sst xmlns="http://schemas.openxmlformats.org/spreadsheetml/2006/main" count="300" uniqueCount="69">
  <si>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</si>
  <si>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</si>
  <si>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</si>
  <si>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</si>
  <si>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</si>
  <si>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</si>
  <si>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</si>
  <si>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</si>
  <si>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</si>
  <si>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</si>
  <si>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</si>
  <si>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</si>
  <si>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</si>
  <si>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</si>
  <si>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</si>
  <si>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</si>
  <si>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</si>
  <si>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</si>
  <si>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</si>
  <si>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</si>
  <si>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</si>
  <si>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</si>
  <si>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</si>
  <si>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</si>
  <si>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</si>
  <si>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</si>
  <si>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</si>
  <si>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</si>
  <si>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</si>
  <si>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</si>
  <si>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</si>
  <si>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</si>
  <si>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</si>
  <si>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</si>
  <si>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</si>
  <si>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</si>
  <si>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</si>
  <si>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</si>
  <si>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</si>
  <si>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</si>
  <si>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</si>
  <si>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</si>
  <si>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</si>
  <si>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</si>
  <si>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</si>
  <si>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</si>
  <si>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</si>
  <si>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</si>
  <si>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</si>
  <si>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</si>
  <si>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</si>
  <si>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</si>
  <si>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</si>
  <si>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</si>
  <si>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</si>
  <si>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</si>
  <si>
    <t xml:space="preserve">Кр / хакатон</t>
  </si>
  <si>
    <t xml:space="preserve">проект</t>
  </si>
  <si>
    <t xml:space="preserve">теор. Зачёт</t>
  </si>
  <si>
    <t xml:space="preserve">Итог</t>
  </si>
  <si>
    <t xml:space="preserve">team</t>
  </si>
  <si>
    <t xml:space="preserve">review</t>
  </si>
  <si>
    <t xml:space="preserve">fixes</t>
  </si>
  <si>
    <t xml:space="preserve">Lunar Base Simulator</t>
  </si>
  <si>
    <t xml:space="preserve">Strategy Game</t>
  </si>
  <si>
    <t xml:space="preserve">Bank</t>
  </si>
  <si>
    <t xml:space="preserve">Морской бой</t>
  </si>
  <si>
    <t xml:space="preserve">бот для бронирования</t>
  </si>
  <si>
    <t xml:space="preserve">лифт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</si>
</sst>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DEEBF7"/>
      </patternFill>
    </fill>
    <fill>
      <patternFill patternType="solid">
        <fgColor rgb="FFDEEBF7"/>
        <bgColor rgb="FFE2F0D9"/>
      </patternFill>
    </fill>
    <fill>
      <patternFill patternType="solid">
        <fgColor rgb="FFDBDBDB"/>
        <bgColor rgb="FFDEEBF7"/>
      </patternFill>
    </fill>
    <fill>
      <patternFill patternType="solid">
        <fgColor rgb="FFF8CBAD"/>
        <bgColor rgb="FFDBDBDB"/>
      </patternFill>
    </fill>
    <fill>
      <patternFill patternType="solid">
        <fgColor rgb="FFFFF2CC"/>
        <bgColor rgb="FFE2F0D9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1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6" activeCellId="0" sqref="L16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1"/>
    <col collapsed="false" customWidth="true" hidden="false" outlineLevel="0" max="9" min="9" style="0" width="10.71"/>
    <col collapsed="false" customWidth="true" hidden="false" outlineLevel="0" max="1025" min="10" style="0" width="8.71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6</v>
      </c>
      <c r="H3" s="13" t="n">
        <v>8</v>
      </c>
      <c r="I3" s="13"/>
      <c r="J3" s="13" t="n">
        <f aca="false">MIN(10, ROUNDUP((B3+C3+D3+E3+F3)/3+G3/3+H3/3+I3,0))</f>
        <v>8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 t="n">
        <v>2</v>
      </c>
      <c r="G4" s="12" t="n">
        <v>8</v>
      </c>
      <c r="H4" s="12" t="n">
        <v>4</v>
      </c>
      <c r="I4" s="12"/>
      <c r="J4" s="13" t="n">
        <f aca="false">MIN(10, ROUNDUP((B4+C4+D4+E4+F4)/3+G4/3+H4/3+I4,0))</f>
        <v>8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 t="n">
        <v>2</v>
      </c>
      <c r="D5" s="13" t="n">
        <v>2</v>
      </c>
      <c r="E5" s="13" t="n">
        <v>2</v>
      </c>
      <c r="F5" s="13" t="n">
        <v>2</v>
      </c>
      <c r="G5" s="13" t="n">
        <v>9</v>
      </c>
      <c r="H5" s="13" t="n">
        <v>7</v>
      </c>
      <c r="I5" s="13"/>
      <c r="J5" s="13" t="n">
        <f aca="false">MIN(10, ROUNDUP((B5+C5+D5+E5+F5)/3+G5/3+H5/3+I5,0))</f>
        <v>9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 t="n">
        <v>2</v>
      </c>
      <c r="F6" s="12" t="n">
        <v>2</v>
      </c>
      <c r="G6" s="12" t="n">
        <v>6</v>
      </c>
      <c r="H6" s="12" t="n">
        <v>7</v>
      </c>
      <c r="I6" s="12"/>
      <c r="J6" s="13" t="n">
        <f aca="false">MIN(10, ROUNDUP((B6+C6+D6+E6+F6)/3+G6/3+H6/3+I6,0))</f>
        <v>8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 t="n">
        <v>2</v>
      </c>
      <c r="G7" s="12" t="n">
        <v>8</v>
      </c>
      <c r="H7" s="12" t="n">
        <v>7</v>
      </c>
      <c r="I7" s="12"/>
      <c r="J7" s="13" t="n">
        <f aca="false">MIN(10, ROUNDUP((B7+C7+D7+E7+F7)/3+G7/3+H7/3+I7,0))</f>
        <v>9</v>
      </c>
    </row>
    <row r="8" customFormat="false" ht="15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 t="n">
        <v>2</v>
      </c>
      <c r="G8" s="12" t="n">
        <v>9</v>
      </c>
      <c r="H8" s="12" t="n">
        <v>3</v>
      </c>
      <c r="I8" s="12"/>
      <c r="J8" s="13" t="n">
        <f aca="false">MIN(10, ROUNDUP((B8+C8+D8+E8+F8)/3+G8/3+H8/3+I8,0))</f>
        <v>7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6</v>
      </c>
      <c r="H9" s="13" t="n">
        <v>10</v>
      </c>
      <c r="I9" s="13"/>
      <c r="J9" s="13" t="n">
        <f aca="false">MIN(10, ROUNDUP((B9+C9+D9+E9+F9)/3+G9/3+H9/3+I9,0))</f>
        <v>9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 t="n">
        <v>2</v>
      </c>
      <c r="D10" s="12" t="n">
        <v>2</v>
      </c>
      <c r="E10" s="12" t="n">
        <v>2</v>
      </c>
      <c r="F10" s="12" t="n">
        <v>2</v>
      </c>
      <c r="G10" s="12" t="n">
        <v>7</v>
      </c>
      <c r="H10" s="12" t="n">
        <v>3</v>
      </c>
      <c r="I10" s="12"/>
      <c r="J10" s="13" t="n">
        <f aca="false">MIN(10, ROUNDUP((B10+C10+D10+E10+F10)/3+G10/3+H10/3+I10,0))</f>
        <v>7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 t="n">
        <v>2</v>
      </c>
      <c r="G12" s="13" t="n">
        <v>7</v>
      </c>
      <c r="H12" s="13" t="n">
        <v>6</v>
      </c>
      <c r="I12" s="13"/>
      <c r="J12" s="13" t="n">
        <f aca="false">MIN(10, ROUNDUP((B12+C12+D12+E12+F12)/3+G12/3+H12/3+I12,0))</f>
        <v>8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 t="n">
        <v>2</v>
      </c>
      <c r="G13" s="12" t="n">
        <v>6</v>
      </c>
      <c r="H13" s="12" t="n">
        <v>7</v>
      </c>
      <c r="I13" s="12"/>
      <c r="J13" s="13" t="n">
        <f aca="false">MIN(10, ROUNDUP((B13+C13+D13+E13+F13)/3+G13/3+H13/3+I13,0))</f>
        <v>7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 t="n">
        <v>2</v>
      </c>
      <c r="G14" s="13" t="n">
        <v>8</v>
      </c>
      <c r="H14" s="13" t="n">
        <v>7</v>
      </c>
      <c r="I14" s="13"/>
      <c r="J14" s="13" t="n">
        <f aca="false">MIN(10, ROUNDUP((B14+C14+D14+E14+F14)/3+G14/3+H14/3+I14,0))</f>
        <v>9</v>
      </c>
    </row>
    <row r="15" customFormat="false" ht="15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 t="n">
        <v>4</v>
      </c>
      <c r="I15" s="12"/>
      <c r="J15" s="13" t="n">
        <f aca="false">MIN(10, ROUNDUP((B15+C15+D15+E15+F15)/3+G15/3+H15/3+I15,0))</f>
        <v>5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 t="n">
        <v>2</v>
      </c>
      <c r="F16" s="13" t="n">
        <v>2</v>
      </c>
      <c r="G16" s="13" t="n">
        <v>6</v>
      </c>
      <c r="H16" s="13" t="n">
        <v>7</v>
      </c>
      <c r="I16" s="13"/>
      <c r="J16" s="13" t="n">
        <f aca="false">MIN(10, ROUNDUP((B16+C16+D16+E16+F16)/3+G16/3+H16/3+I16,0))</f>
        <v>8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RowHeight="15" zeroHeight="false" outlineLevelRow="0" outlineLevelCol="0"/>
  <cols>
    <col collapsed="false" customWidth="true" hidden="false" outlineLevel="0" max="1" min="1" style="0" width="9.77"/>
    <col collapsed="false" customWidth="true" hidden="false" outlineLevel="0" max="2" min="2" style="0" width="11.71"/>
    <col collapsed="false" customWidth="true" hidden="false" outlineLevel="0" max="6" min="3" style="0" width="8.6"/>
    <col collapsed="false" customWidth="true" hidden="false" outlineLevel="0" max="7" min="7" style="0" width="22.01"/>
    <col collapsed="false" customWidth="true" hidden="false" outlineLevel="0" max="1025" min="8" style="0" width="8.6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56</v>
      </c>
      <c r="C2" s="12" t="s">
        <v>57</v>
      </c>
      <c r="D2" s="12" t="s">
        <v>58</v>
      </c>
      <c r="E2" s="13" t="s">
        <v>59</v>
      </c>
      <c r="G2" s="12" t="s">
        <v>60</v>
      </c>
      <c r="H2" s="13" t="s">
        <v>61</v>
      </c>
      <c r="I2" s="13" t="s">
        <v>62</v>
      </c>
    </row>
    <row r="3" customFormat="false" ht="13.8" hidden="false" customHeight="false" outlineLevel="0" collapsed="false">
      <c r="A3" s="13" t="s">
        <v>31</v>
      </c>
      <c r="B3" s="13" t="n">
        <v>9</v>
      </c>
      <c r="C3" s="13" t="n">
        <f aca="false">(H6+I6)/2</f>
        <v>8</v>
      </c>
      <c r="D3" s="13" t="n">
        <v>9</v>
      </c>
      <c r="E3" s="12" t="n">
        <f aca="false">MIN(ROUND((B3+C3+D3) / 3,0), 10)</f>
        <v>9</v>
      </c>
      <c r="G3" s="13" t="s">
        <v>63</v>
      </c>
      <c r="H3" s="15" t="n">
        <v>6</v>
      </c>
      <c r="I3" s="16" t="n">
        <v>7</v>
      </c>
    </row>
    <row r="4" customFormat="false" ht="13.8" hidden="false" customHeight="false" outlineLevel="0" collapsed="false">
      <c r="A4" s="12" t="s">
        <v>34</v>
      </c>
      <c r="B4" s="12" t="n">
        <v>7</v>
      </c>
      <c r="C4" s="12" t="n">
        <f aca="false">(H7+8)/2</f>
        <v>7</v>
      </c>
      <c r="D4" s="12" t="n">
        <v>7</v>
      </c>
      <c r="E4" s="12" t="n">
        <f aca="false">MIN(ROUND((B4+C4+D4) / 3,0), 10)</f>
        <v>7</v>
      </c>
      <c r="G4" s="13" t="s">
        <v>64</v>
      </c>
      <c r="H4" s="17" t="n">
        <v>8</v>
      </c>
      <c r="I4" s="18" t="n">
        <v>8</v>
      </c>
    </row>
    <row r="5" customFormat="false" ht="13.8" hidden="false" customHeight="false" outlineLevel="0" collapsed="false">
      <c r="A5" s="13" t="s">
        <v>35</v>
      </c>
      <c r="B5" s="13"/>
      <c r="C5" s="13" t="n">
        <v>10</v>
      </c>
      <c r="D5" s="13" t="n">
        <v>7</v>
      </c>
      <c r="E5" s="12" t="n">
        <f aca="false">MIN(ROUND((C5+D5) / 2,0), 10)</f>
        <v>9</v>
      </c>
      <c r="G5" s="13" t="s">
        <v>65</v>
      </c>
      <c r="H5" s="19" t="n">
        <v>8</v>
      </c>
      <c r="I5" s="20" t="n">
        <v>8</v>
      </c>
    </row>
    <row r="6" customFormat="false" ht="13.8" hidden="false" customHeight="false" outlineLevel="0" collapsed="false">
      <c r="A6" s="12" t="s">
        <v>36</v>
      </c>
      <c r="B6" s="12" t="n">
        <v>10</v>
      </c>
      <c r="C6" s="12" t="n">
        <f aca="false">(H6+I6)/2</f>
        <v>8</v>
      </c>
      <c r="D6" s="12" t="n">
        <v>9</v>
      </c>
      <c r="E6" s="12" t="n">
        <f aca="false">MIN(ROUND((B6+C6+D6) / 3,0), 10)</f>
        <v>9</v>
      </c>
      <c r="G6" s="13" t="s">
        <v>66</v>
      </c>
      <c r="H6" s="16" t="n">
        <v>8</v>
      </c>
      <c r="I6" s="15" t="n">
        <v>8</v>
      </c>
    </row>
    <row r="7" customFormat="false" ht="13.8" hidden="false" customHeight="false" outlineLevel="0" collapsed="false">
      <c r="A7" s="12" t="s">
        <v>37</v>
      </c>
      <c r="B7" s="12" t="n">
        <v>5</v>
      </c>
      <c r="C7" s="12" t="n">
        <f aca="false">(H5+I5)/2</f>
        <v>8</v>
      </c>
      <c r="D7" s="12" t="n">
        <v>8</v>
      </c>
      <c r="E7" s="12" t="n">
        <f aca="false">MIN(ROUND((B7+C7+D7) / 3,0), 10)</f>
        <v>7</v>
      </c>
      <c r="G7" s="13" t="s">
        <v>67</v>
      </c>
      <c r="H7" s="18" t="n">
        <v>6</v>
      </c>
      <c r="I7" s="17" t="n">
        <v>7</v>
      </c>
    </row>
    <row r="8" customFormat="false" ht="13.8" hidden="false" customHeight="false" outlineLevel="0" collapsed="false">
      <c r="A8" s="12" t="s">
        <v>38</v>
      </c>
      <c r="B8" s="12" t="n">
        <v>10</v>
      </c>
      <c r="C8" s="12" t="n">
        <f aca="false">(H7+I7)/2</f>
        <v>6.5</v>
      </c>
      <c r="D8" s="12" t="n">
        <v>7</v>
      </c>
      <c r="E8" s="12" t="n">
        <f aca="false">MIN(ROUND((B8+C8+D8) / 3,0), 10)</f>
        <v>8</v>
      </c>
      <c r="G8" s="13" t="s">
        <v>68</v>
      </c>
      <c r="H8" s="20" t="n">
        <v>7</v>
      </c>
      <c r="I8" s="19" t="n">
        <v>9</v>
      </c>
    </row>
    <row r="9" customFormat="false" ht="13.8" hidden="false" customHeight="false" outlineLevel="0" collapsed="false">
      <c r="A9" s="13" t="s">
        <v>39</v>
      </c>
      <c r="B9" s="13" t="n">
        <v>9</v>
      </c>
      <c r="C9" s="13" t="n">
        <f aca="false">(H5+I5)/2</f>
        <v>8</v>
      </c>
      <c r="D9" s="13" t="n">
        <v>9</v>
      </c>
      <c r="E9" s="12" t="n">
        <f aca="false">MIN(ROUND((B9+C9+D9) / 3,0), 10)</f>
        <v>9</v>
      </c>
    </row>
    <row r="10" customFormat="false" ht="13.8" hidden="false" customHeight="false" outlineLevel="0" collapsed="false">
      <c r="A10" s="12" t="s">
        <v>40</v>
      </c>
      <c r="B10" s="12" t="n">
        <v>7</v>
      </c>
      <c r="C10" s="12" t="n">
        <f aca="false">(H7+I7)/2</f>
        <v>6.5</v>
      </c>
      <c r="D10" s="12" t="n">
        <v>7</v>
      </c>
      <c r="E10" s="12" t="n">
        <f aca="false">MIN(ROUND((B10+C10+D10) / 3,0), 10)</f>
        <v>7</v>
      </c>
    </row>
    <row r="11" customFormat="false" ht="13.8" hidden="false" customHeight="false" outlineLevel="0" collapsed="false">
      <c r="A11" s="13" t="s">
        <v>42</v>
      </c>
      <c r="B11" s="13" t="n">
        <v>8</v>
      </c>
      <c r="C11" s="13" t="n">
        <f aca="false">(H3+I3)/2</f>
        <v>6.5</v>
      </c>
      <c r="D11" s="13" t="n">
        <v>9</v>
      </c>
      <c r="E11" s="12" t="n">
        <f aca="false">MIN(ROUND((B11+C11+D11) / 3,0), 10)</f>
        <v>8</v>
      </c>
    </row>
    <row r="12" customFormat="false" ht="13.8" hidden="false" customHeight="false" outlineLevel="0" collapsed="false">
      <c r="A12" s="12" t="s">
        <v>43</v>
      </c>
      <c r="B12" s="12" t="n">
        <v>5</v>
      </c>
      <c r="C12" s="12" t="n">
        <f aca="false">(H8+I8)/2</f>
        <v>8</v>
      </c>
      <c r="D12" s="12" t="n">
        <v>9</v>
      </c>
      <c r="E12" s="12" t="n">
        <f aca="false">MIN(ROUND((B12+C12+D12) / 3,0), 10)</f>
        <v>7</v>
      </c>
    </row>
    <row r="13" customFormat="false" ht="13.8" hidden="false" customHeight="false" outlineLevel="0" collapsed="false">
      <c r="A13" s="13" t="s">
        <v>44</v>
      </c>
      <c r="B13" s="13" t="n">
        <v>8</v>
      </c>
      <c r="C13" s="13" t="n">
        <f aca="false">(H8+I8)/2</f>
        <v>8</v>
      </c>
      <c r="D13" s="13" t="n">
        <v>9</v>
      </c>
      <c r="E13" s="12" t="n">
        <f aca="false">MIN(ROUND((B13+C13+D13) / 3,0), 10)</f>
        <v>8</v>
      </c>
    </row>
    <row r="14" customFormat="false" ht="13.8" hidden="false" customHeight="false" outlineLevel="0" collapsed="false">
      <c r="A14" s="12" t="s">
        <v>45</v>
      </c>
      <c r="B14" s="12" t="n">
        <v>0</v>
      </c>
      <c r="C14" s="12"/>
      <c r="D14" s="12"/>
      <c r="E14" s="12" t="n">
        <f aca="false">MIN(ROUND((B14+C14+D14) / 3,0), 10)</f>
        <v>0</v>
      </c>
    </row>
    <row r="15" customFormat="false" ht="13.8" hidden="false" customHeight="false" outlineLevel="0" collapsed="false">
      <c r="A15" s="13" t="s">
        <v>46</v>
      </c>
      <c r="B15" s="13" t="n">
        <v>5</v>
      </c>
      <c r="C15" s="13" t="n">
        <f aca="false">(H4+I4)/2</f>
        <v>8</v>
      </c>
      <c r="D15" s="13" t="n">
        <v>7</v>
      </c>
      <c r="E15" s="12" t="n">
        <f aca="false">MIN(ROUND((B15+C15+D15) / 3,0), 10)</f>
        <v>7</v>
      </c>
    </row>
    <row r="16" customFormat="false" ht="13.8" hidden="false" customHeight="false" outlineLevel="0" collapsed="false"/>
    <row r="22" customFormat="false" ht="13.8" hidden="false" customHeight="false" outlineLevel="0" collapsed="false"/>
  </sheetData>
  <conditionalFormatting sqref="E3:E15">
    <cfRule type="colorScale" priority="2">
      <colorScale>
        <cfvo type="num" val="2"/>
        <cfvo type="num" val="5"/>
        <cfvo type="num" val="10"/>
        <color rgb="FFFF0000"/>
        <color rgb="FFFFEB84"/>
        <color rgb="FF00B050"/>
      </colorScale>
    </cfRule>
    <cfRule type="colorScale" priority="3">
      <colorScale>
        <cfvo type="num" val="2"/>
        <cfvo type="num" val="10"/>
        <color rgb="FFFF0000"/>
        <color rgb="FF00B050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2026-05-11T18:49:43Z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